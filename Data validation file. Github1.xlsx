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3272341b1ab685cd/Desktop/"/>
    </mc:Choice>
  </mc:AlternateContent>
  <xr:revisionPtr revIDLastSave="0" documentId="8_{2287B7E4-6C5D-4647-B227-5DE33E1E599D}"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wesley ofori</author>
    <author>Benita Mbanusi</author>
  </authors>
  <commentList>
    <comment ref="H3" authorId="0" shapeId="0" xr:uid="{8A3434F5-D4BA-4633-870C-E1A2A62737A3}">
      <text>
        <r>
          <rPr>
            <sz val="9"/>
            <color indexed="81"/>
            <rFont val="Tahoma"/>
            <charset val="1"/>
          </rPr>
          <t xml:space="preserve">Numerical strings are right aligned; implies Excel treats it as text string
Using the = ISNUMBER function, it shows that some of the figures were treated as texts, and left aigned. Conditional formatting is used to highlight those. 
 To rectify this, place one underneath the column of the Estimated cost and press enter. This is treated as a numerical value. It is copied and the entire column is highlighted; in the paste options under the home tab, "paste special" is selected and from the options that appear, multiply is selected. 
A table is introduced , before Data validation to ensure the the data is dynamic and structured. 
</t>
        </r>
      </text>
    </comment>
    <comment ref="J4" authorId="1" shapeId="0" xr:uid="{00000000-0006-0000-0000-000002000000}">
      <text>
        <r>
          <rPr>
            <sz val="9"/>
            <color indexed="81"/>
            <rFont val="Tahoma"/>
            <charset val="1"/>
          </rPr>
          <t xml:space="preserve">Data validation for the numeric column can be done, by highlighting the entire column, selecting data validation, then choosing "whole number from the list". From the minimum and maximum values, select the range of numbers you wish. 
</t>
        </r>
      </text>
    </comment>
    <comment ref="A5" authorId="1" shapeId="0" xr:uid="{00000000-0006-0000-0000-000003000000}">
      <text>
        <r>
          <rPr>
            <sz val="9"/>
            <color indexed="81"/>
            <rFont val="Tahoma"/>
            <family val="2"/>
          </rPr>
          <t xml:space="preserve">Conditional formatting used to highlight inconsistent format in orange
Simply editing the highlighted cells by including the hyphen eiminates the rules of conditional formatting.
</t>
        </r>
      </text>
    </comment>
    <comment ref="B7" authorId="1" shapeId="0" xr:uid="{00000000-0006-0000-0000-000004000000}">
      <text>
        <r>
          <rPr>
            <sz val="9"/>
            <color indexed="81"/>
            <rFont val="Tahoma"/>
            <family val="2"/>
          </rPr>
          <t xml:space="preserve">Data aligned to left; implies Excel is treating the date as a text string
* To correct this select and highlight the column using Ctrl+shift+page down.
Data tab, select text-to-columns, then press the next button twice on the text-to-coumn wizard that appears. 
Select Date from the coumn data format that appears, and choose the date format of your choice.
Click on Finish.
</t>
        </r>
      </text>
    </comment>
    <comment ref="E11" authorId="1" shapeId="0" xr:uid="{00000000-0006-0000-0000-000005000000}">
      <text>
        <r>
          <rPr>
            <sz val="9"/>
            <color indexed="81"/>
            <rFont val="Tahoma"/>
            <charset val="1"/>
          </rPr>
          <t xml:space="preserve">
Spelling errors
 Data Validation is introduced by highlighting the entire column, then selecting Data validation under the Data tab. 
Under settings, select allow, then choose list from the drop-down button. Type Hardware, Software, Office Suppplies, Services. 
Highlight the entire column, then select "circle invalid values" under the Data tab. 
Scroll to the circled values and select the correct spelling. The circle automatically disappears after the right value is selected.
</t>
        </r>
      </text>
    </comment>
    <comment ref="B15" authorId="1" shapeId="0" xr:uid="{00000000-0006-0000-0000-000006000000}">
      <text>
        <r>
          <rPr>
            <sz val="9"/>
            <color indexed="81"/>
            <rFont val="Tahoma"/>
            <family val="2"/>
          </rPr>
          <t xml:space="preserve">inconsistent date format
</t>
        </r>
      </text>
    </comment>
  </commentList>
</comments>
</file>

<file path=xl/sharedStrings.xml><?xml version="1.0" encoding="utf-8"?>
<sst xmlns="http://schemas.openxmlformats.org/spreadsheetml/2006/main" count="429" uniqueCount="109">
  <si>
    <t>Request ID</t>
  </si>
  <si>
    <t>Request Date</t>
  </si>
  <si>
    <t>Employee Name</t>
  </si>
  <si>
    <t>Department</t>
  </si>
  <si>
    <t>Request Type</t>
  </si>
  <si>
    <t>Vendor</t>
  </si>
  <si>
    <t>Payment Method</t>
  </si>
  <si>
    <t>Estimated Cost</t>
  </si>
  <si>
    <t>Quantity</t>
  </si>
  <si>
    <t>Urgency</t>
  </si>
  <si>
    <t>Approval Status</t>
  </si>
  <si>
    <t>PR-1001</t>
  </si>
  <si>
    <t>Jordan Lee</t>
  </si>
  <si>
    <t>IT</t>
  </si>
  <si>
    <t>Hardware</t>
  </si>
  <si>
    <t>TechSource Inc</t>
  </si>
  <si>
    <t>Credit Card</t>
  </si>
  <si>
    <t>High</t>
  </si>
  <si>
    <t>Pending</t>
  </si>
  <si>
    <t>PR-1002</t>
  </si>
  <si>
    <t>Morgan Reed</t>
  </si>
  <si>
    <t>Finance</t>
  </si>
  <si>
    <t>Software</t>
  </si>
  <si>
    <t>CloudWare LLC</t>
  </si>
  <si>
    <t>Invoice</t>
  </si>
  <si>
    <t>480</t>
  </si>
  <si>
    <t>Medium</t>
  </si>
  <si>
    <t>Approved</t>
  </si>
  <si>
    <t>PR-1003</t>
  </si>
  <si>
    <t>Casey Nguyen</t>
  </si>
  <si>
    <t>HR</t>
  </si>
  <si>
    <t>Office Supplies</t>
  </si>
  <si>
    <t>StaplePro</t>
  </si>
  <si>
    <t>Low</t>
  </si>
  <si>
    <t>PR1004</t>
  </si>
  <si>
    <t>Taylor Smith</t>
  </si>
  <si>
    <t>Operations</t>
  </si>
  <si>
    <t>Services</t>
  </si>
  <si>
    <t>FixIT Services</t>
  </si>
  <si>
    <t>PR-1005</t>
  </si>
  <si>
    <t>Riley Adams</t>
  </si>
  <si>
    <t>Marketing</t>
  </si>
  <si>
    <t>DesignSoft Co</t>
  </si>
  <si>
    <t>Rejected</t>
  </si>
  <si>
    <t>PR-1006</t>
  </si>
  <si>
    <t>1/10/2026</t>
  </si>
  <si>
    <t>Alex Carter</t>
  </si>
  <si>
    <t>Sales</t>
  </si>
  <si>
    <t>PR-1007</t>
  </si>
  <si>
    <t>Jamie Brooks</t>
  </si>
  <si>
    <t>Sofware</t>
  </si>
  <si>
    <t>SecureNet Ltd</t>
  </si>
  <si>
    <t>PR1008</t>
  </si>
  <si>
    <t>Drew Wilson</t>
  </si>
  <si>
    <t>AuditPro Group</t>
  </si>
  <si>
    <t>PR-1009</t>
  </si>
  <si>
    <t>1/13/2026</t>
  </si>
  <si>
    <t>Quinn Patel</t>
  </si>
  <si>
    <t>PR-1010</t>
  </si>
  <si>
    <t>Peyton Harris</t>
  </si>
  <si>
    <t>Hardwore</t>
  </si>
  <si>
    <t>Industrial Supply Co</t>
  </si>
  <si>
    <t>PR-1011</t>
  </si>
  <si>
    <t>Skyler Thompson</t>
  </si>
  <si>
    <t>BrandLift Agency</t>
  </si>
  <si>
    <t>950</t>
  </si>
  <si>
    <t>PR-1012</t>
  </si>
  <si>
    <t>Blake Monroe</t>
  </si>
  <si>
    <t>CRM Cloud Inc</t>
  </si>
  <si>
    <t>PR-1013</t>
  </si>
  <si>
    <t>Reese Coleman</t>
  </si>
  <si>
    <t>PR-1014</t>
  </si>
  <si>
    <t>1.18.2026</t>
  </si>
  <si>
    <t>Finley Ortiz</t>
  </si>
  <si>
    <t>Office Suplies</t>
  </si>
  <si>
    <t>OfficeMart</t>
  </si>
  <si>
    <t>PR-1015</t>
  </si>
  <si>
    <t>Hayden Park</t>
  </si>
  <si>
    <t>LogiFix Corp</t>
  </si>
  <si>
    <t>PR1016</t>
  </si>
  <si>
    <t>Rowan Kim</t>
  </si>
  <si>
    <t>HR Systems LLC</t>
  </si>
  <si>
    <t>PR-1017</t>
  </si>
  <si>
    <t>Emerson Wright</t>
  </si>
  <si>
    <t>DisplayWorks</t>
  </si>
  <si>
    <t>PR-1018</t>
  </si>
  <si>
    <t>Dakota Flores</t>
  </si>
  <si>
    <t>PR-1019</t>
  </si>
  <si>
    <t>Sawyer Bennett</t>
  </si>
  <si>
    <t>NetSupport Co</t>
  </si>
  <si>
    <t>PR-1020</t>
  </si>
  <si>
    <t>Avery Collins</t>
  </si>
  <si>
    <t>PR-1021</t>
  </si>
  <si>
    <t>Cameron Ross</t>
  </si>
  <si>
    <t>PR-1022</t>
  </si>
  <si>
    <t>Jordan Price</t>
  </si>
  <si>
    <t>MediaBoost Inc</t>
  </si>
  <si>
    <t>1500</t>
  </si>
  <si>
    <t>PR-1023</t>
  </si>
  <si>
    <t>Morgan Ellis</t>
  </si>
  <si>
    <t>PR-1024</t>
  </si>
  <si>
    <t>1/28/2026</t>
  </si>
  <si>
    <t>Taylor Grant</t>
  </si>
  <si>
    <t>PR-1025</t>
  </si>
  <si>
    <t>Riley Stone</t>
  </si>
  <si>
    <t>Approve</t>
  </si>
  <si>
    <t>PR-1004</t>
  </si>
  <si>
    <t>PR-1008</t>
  </si>
  <si>
    <t>PR-1016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</si>
</sst>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5" x14ac:knownFonts="1">
    <font>
      <sz val="11"/>
      <color theme="1"/>
      <name val="Calibri"/>
      <family val="2"/>
      <scheme val="minor"/>
    </font>
    <font>
      <sz val="11"/>
      <color theme="1"/>
      <name val="Calibri"/>
      <family val="2"/>
      <scheme val="minor"/>
    </font>
    <font>
      <b/>
      <sz val="14"/>
      <color theme="0"/>
      <name val="Calibri"/>
      <family val="2"/>
      <scheme val="minor"/>
    </font>
    <font>
      <sz val="9"/>
      <color indexed="81"/>
      <name val="Tahoma"/>
      <family val="2"/>
    </font>
    <font>
      <sz val="9"/>
      <color indexed="81"/>
      <name val="Tahoma"/>
      <charset val="1"/>
    </font>
  </fonts>
  <fills count="5">
    <fill>
      <patternFill patternType="none"/>
    </fill>
    <fill>
      <patternFill patternType="gray125"/>
    </fill>
    <fill>
      <patternFill patternType="solid">
        <fgColor theme="4" tint="-0.249977111117893"/>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2" borderId="1" xfId="0" applyFont="1" applyFill="1" applyBorder="1"/>
    <xf numFmtId="14" fontId="0" fillId="0" borderId="0" xfId="0" applyNumberFormat="1"/>
    <xf numFmtId="164" fontId="0" fillId="0" borderId="0" xfId="1" applyFont="1"/>
    <xf numFmtId="14" fontId="0" fillId="0" borderId="0" xfId="0" quotePrefix="1" applyNumberFormat="1"/>
    <xf numFmtId="14" fontId="0" fillId="3" borderId="0" xfId="0" applyNumberFormat="1" applyFill="1"/>
    <xf numFmtId="14" fontId="0" fillId="3" borderId="0" xfId="0" quotePrefix="1" applyNumberFormat="1" applyFill="1"/>
    <xf numFmtId="0" fontId="0" fillId="3" borderId="0" xfId="0" applyFill="1"/>
    <xf numFmtId="164" fontId="0" fillId="4" borderId="0" xfId="1" applyFont="1" applyFill="1"/>
    <xf numFmtId="0" fontId="2" fillId="2" borderId="1" xfId="0" applyFont="1" applyFill="1" applyBorder="1" applyAlignment="1">
      <alignment horizontal="center"/>
    </xf>
    <xf numFmtId="164" fontId="0" fillId="0" borderId="0" xfId="1" applyFont="1" applyFill="1"/>
    <xf numFmtId="164" fontId="0" fillId="3" borderId="0" xfId="1" quotePrefix="1" applyFont="1" applyFill="1"/>
  </cellXfs>
  <cellStyles count="2">
    <cellStyle name="Currency" xfId="1" builtinId="4"/>
    <cellStyle name="Normal" xfId="0" builtinId="0"/>
  </cellStyles>
  <dxfs count="9">
    <dxf>
      <font>
        <color theme="5"/>
      </font>
    </dxf>
    <dxf>
      <font>
        <color theme="5"/>
      </font>
    </dxf>
    <dxf>
      <font>
        <color rgb="FF9C0006"/>
      </font>
      <fill>
        <patternFill>
          <bgColor rgb="FFFFC7CE"/>
        </patternFill>
      </fill>
    </dxf>
    <dxf>
      <font>
        <color theme="5"/>
      </font>
    </dxf>
    <dxf>
      <font>
        <color theme="5"/>
      </font>
    </dxf>
    <dxf>
      <font>
        <b val="0"/>
        <i val="0"/>
        <strike val="0"/>
        <condense val="0"/>
        <extend val="0"/>
        <outline val="0"/>
        <shadow val="0"/>
        <u val="none"/>
        <vertAlign val="baseline"/>
        <sz val="11"/>
        <color theme="1"/>
        <name val="Calibri"/>
        <scheme val="minor"/>
      </font>
    </dxf>
    <dxf>
      <numFmt numFmtId="165" formatCode="m/d/yyyy"/>
    </dxf>
    <dxf>
      <border outline="0">
        <bottom style="medium">
          <color indexed="64"/>
        </bottom>
      </border>
    </dxf>
    <dxf>
      <font>
        <b/>
        <i val="0"/>
        <strike val="0"/>
        <condense val="0"/>
        <extend val="0"/>
        <outline val="0"/>
        <shadow val="0"/>
        <u val="none"/>
        <vertAlign val="baseline"/>
        <sz val="14"/>
        <color theme="0"/>
        <name val="Calibri"/>
        <scheme val="minor"/>
      </font>
      <fill>
        <patternFill patternType="solid">
          <fgColor indexed="64"/>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6" totalsRowShown="0" headerRowDxfId="8" headerRowBorderDxfId="7">
  <autoFilter ref="A1:K26" xr:uid="{00000000-0009-0000-0100-000001000000}"/>
  <tableColumns count="11">
    <tableColumn id="1" xr3:uid="{00000000-0010-0000-0000-000001000000}" name="Request ID"/>
    <tableColumn id="2" xr3:uid="{00000000-0010-0000-0000-000002000000}" name="Request Date" dataDxfId="6"/>
    <tableColumn id="3" xr3:uid="{00000000-0010-0000-0000-000003000000}" name="Employee Name"/>
    <tableColumn id="4" xr3:uid="{00000000-0010-0000-0000-000004000000}" name="Department"/>
    <tableColumn id="5" xr3:uid="{00000000-0010-0000-0000-000005000000}" name="Request Type"/>
    <tableColumn id="6" xr3:uid="{00000000-0010-0000-0000-000006000000}" name="Vendor"/>
    <tableColumn id="7" xr3:uid="{00000000-0010-0000-0000-000007000000}" name="Payment Method"/>
    <tableColumn id="8" xr3:uid="{00000000-0010-0000-0000-000008000000}" name="Estimated Cost" dataDxfId="5" dataCellStyle="Currency"/>
    <tableColumn id="9" xr3:uid="{00000000-0010-0000-0000-000009000000}" name="Quantity"/>
    <tableColumn id="10" xr3:uid="{00000000-0010-0000-0000-00000A000000}" name="Urgency"/>
    <tableColumn id="11" xr3:uid="{00000000-0010-0000-0000-00000B000000}" name="Approval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topLeftCell="C1" workbookViewId="0">
      <selection activeCell="J30" sqref="J30"/>
    </sheetView>
  </sheetViews>
  <sheetFormatPr defaultRowHeight="14.5" x14ac:dyDescent="0.35"/>
  <cols>
    <col min="1" max="1" width="20.36328125" customWidth="1"/>
    <col min="2" max="2" width="19.36328125" customWidth="1"/>
    <col min="3" max="3" width="25.81640625" customWidth="1"/>
    <col min="4" max="4" width="17.1796875" customWidth="1"/>
    <col min="5" max="5" width="19.7265625" customWidth="1"/>
    <col min="6" max="6" width="15.7265625" customWidth="1"/>
    <col min="7" max="7" width="25.36328125" customWidth="1"/>
    <col min="8" max="9" width="17.6328125" customWidth="1"/>
    <col min="10" max="10" width="10.54296875" customWidth="1"/>
    <col min="11" max="11" width="14" customWidth="1"/>
    <col min="12" max="12" width="17.6328125" customWidth="1"/>
  </cols>
  <sheetData>
    <row r="1" spans="1:12" ht="19" thickBot="1" x14ac:dyDescent="0.5">
      <c r="A1" s="1" t="s">
        <v>0</v>
      </c>
      <c r="B1" s="1" t="s">
        <v>1</v>
      </c>
      <c r="C1" s="1" t="s">
        <v>2</v>
      </c>
      <c r="D1" s="1" t="s">
        <v>3</v>
      </c>
      <c r="E1" s="1" t="s">
        <v>4</v>
      </c>
      <c r="F1" s="1" t="s">
        <v>5</v>
      </c>
      <c r="G1" s="1" t="s">
        <v>6</v>
      </c>
      <c r="H1" s="1" t="s">
        <v>7</v>
      </c>
      <c r="I1" s="1"/>
      <c r="J1" s="1" t="s">
        <v>8</v>
      </c>
      <c r="K1" s="1" t="s">
        <v>9</v>
      </c>
      <c r="L1" s="1" t="s">
        <v>10</v>
      </c>
    </row>
    <row r="2" spans="1:12" x14ac:dyDescent="0.35">
      <c r="A2" t="s">
        <v>11</v>
      </c>
      <c r="B2" s="2">
        <v>46027</v>
      </c>
      <c r="C2" t="s">
        <v>12</v>
      </c>
      <c r="D2" t="s">
        <v>13</v>
      </c>
      <c r="E2" t="s">
        <v>14</v>
      </c>
      <c r="F2" t="s">
        <v>15</v>
      </c>
      <c r="G2" t="s">
        <v>16</v>
      </c>
      <c r="H2" s="10">
        <v>1250</v>
      </c>
      <c r="I2" s="8" t="b">
        <f>ISNUMBER(H2:H26)</f>
        <v>1</v>
      </c>
      <c r="J2">
        <v>2</v>
      </c>
      <c r="K2" t="s">
        <v>17</v>
      </c>
      <c r="L2" t="s">
        <v>18</v>
      </c>
    </row>
    <row r="3" spans="1:12" x14ac:dyDescent="0.35">
      <c r="A3" t="s">
        <v>19</v>
      </c>
      <c r="B3" s="2">
        <v>46028</v>
      </c>
      <c r="C3" t="s">
        <v>20</v>
      </c>
      <c r="D3" t="s">
        <v>21</v>
      </c>
      <c r="E3" t="s">
        <v>22</v>
      </c>
      <c r="F3" t="s">
        <v>23</v>
      </c>
      <c r="G3" t="s">
        <v>24</v>
      </c>
      <c r="H3" s="11" t="s">
        <v>25</v>
      </c>
      <c r="I3" s="8" t="b">
        <f t="shared" ref="I3:I26" si="0">ISNUMBER(H3:H27)</f>
        <v>0</v>
      </c>
      <c r="J3">
        <v>5</v>
      </c>
      <c r="K3" t="s">
        <v>26</v>
      </c>
      <c r="L3" t="s">
        <v>27</v>
      </c>
    </row>
    <row r="4" spans="1:12" x14ac:dyDescent="0.35">
      <c r="A4" t="s">
        <v>28</v>
      </c>
      <c r="B4" s="2">
        <v>46029</v>
      </c>
      <c r="C4" t="s">
        <v>29</v>
      </c>
      <c r="D4" t="s">
        <v>30</v>
      </c>
      <c r="E4" t="s">
        <v>31</v>
      </c>
      <c r="F4" t="s">
        <v>32</v>
      </c>
      <c r="G4" t="s">
        <v>16</v>
      </c>
      <c r="H4" s="3">
        <v>95</v>
      </c>
      <c r="I4" s="8" t="b">
        <f t="shared" si="0"/>
        <v>1</v>
      </c>
      <c r="J4">
        <v>10</v>
      </c>
      <c r="K4" t="s">
        <v>33</v>
      </c>
      <c r="L4" t="s">
        <v>27</v>
      </c>
    </row>
    <row r="5" spans="1:12" x14ac:dyDescent="0.35">
      <c r="A5" t="s">
        <v>34</v>
      </c>
      <c r="B5" s="2">
        <v>46030</v>
      </c>
      <c r="C5" t="s">
        <v>35</v>
      </c>
      <c r="D5" t="s">
        <v>36</v>
      </c>
      <c r="E5" t="s">
        <v>37</v>
      </c>
      <c r="F5" t="s">
        <v>38</v>
      </c>
      <c r="G5" t="s">
        <v>24</v>
      </c>
      <c r="H5" s="3">
        <v>850</v>
      </c>
      <c r="I5" s="8" t="b">
        <f t="shared" si="0"/>
        <v>1</v>
      </c>
      <c r="J5">
        <v>1</v>
      </c>
      <c r="K5" t="s">
        <v>17</v>
      </c>
      <c r="L5" t="s">
        <v>18</v>
      </c>
    </row>
    <row r="6" spans="1:12" x14ac:dyDescent="0.35">
      <c r="A6" t="s">
        <v>39</v>
      </c>
      <c r="B6" s="2">
        <v>46031</v>
      </c>
      <c r="C6" t="s">
        <v>40</v>
      </c>
      <c r="D6" t="s">
        <v>41</v>
      </c>
      <c r="E6" t="s">
        <v>22</v>
      </c>
      <c r="F6" t="s">
        <v>42</v>
      </c>
      <c r="G6" t="s">
        <v>16</v>
      </c>
      <c r="H6" s="3">
        <v>1200</v>
      </c>
      <c r="I6" s="8" t="b">
        <f t="shared" si="0"/>
        <v>1</v>
      </c>
      <c r="J6">
        <v>3</v>
      </c>
      <c r="K6" t="s">
        <v>26</v>
      </c>
      <c r="L6" t="s">
        <v>43</v>
      </c>
    </row>
    <row r="7" spans="1:12" x14ac:dyDescent="0.35">
      <c r="A7" t="s">
        <v>44</v>
      </c>
      <c r="B7" s="6" t="s">
        <v>45</v>
      </c>
      <c r="C7" t="s">
        <v>46</v>
      </c>
      <c r="D7" t="s">
        <v>47</v>
      </c>
      <c r="E7" t="s">
        <v>14</v>
      </c>
      <c r="F7" t="s">
        <v>15</v>
      </c>
      <c r="G7" t="s">
        <v>16</v>
      </c>
      <c r="H7" s="3">
        <v>640</v>
      </c>
      <c r="I7" s="8" t="b">
        <f t="shared" si="0"/>
        <v>1</v>
      </c>
      <c r="J7">
        <v>4</v>
      </c>
      <c r="K7" t="s">
        <v>17</v>
      </c>
      <c r="L7" t="s">
        <v>18</v>
      </c>
    </row>
    <row r="8" spans="1:12" x14ac:dyDescent="0.35">
      <c r="A8" t="s">
        <v>48</v>
      </c>
      <c r="B8" s="2">
        <v>46033</v>
      </c>
      <c r="C8" t="s">
        <v>49</v>
      </c>
      <c r="D8" t="s">
        <v>13</v>
      </c>
      <c r="E8" s="7" t="s">
        <v>50</v>
      </c>
      <c r="F8" t="s">
        <v>51</v>
      </c>
      <c r="G8" t="s">
        <v>24</v>
      </c>
      <c r="H8" s="3">
        <v>2200</v>
      </c>
      <c r="I8" s="8" t="b">
        <f t="shared" si="0"/>
        <v>1</v>
      </c>
      <c r="J8">
        <v>2</v>
      </c>
      <c r="K8" t="s">
        <v>17</v>
      </c>
      <c r="L8" t="s">
        <v>27</v>
      </c>
    </row>
    <row r="9" spans="1:12" x14ac:dyDescent="0.35">
      <c r="A9" t="s">
        <v>52</v>
      </c>
      <c r="B9" s="2">
        <v>46034</v>
      </c>
      <c r="C9" t="s">
        <v>53</v>
      </c>
      <c r="D9" t="s">
        <v>21</v>
      </c>
      <c r="E9" t="s">
        <v>37</v>
      </c>
      <c r="F9" t="s">
        <v>54</v>
      </c>
      <c r="G9" t="s">
        <v>24</v>
      </c>
      <c r="H9" s="3">
        <v>1800</v>
      </c>
      <c r="I9" s="8" t="b">
        <f t="shared" si="0"/>
        <v>1</v>
      </c>
      <c r="J9">
        <v>1</v>
      </c>
      <c r="K9" t="s">
        <v>26</v>
      </c>
      <c r="L9" t="s">
        <v>27</v>
      </c>
    </row>
    <row r="10" spans="1:12" x14ac:dyDescent="0.35">
      <c r="A10" t="s">
        <v>55</v>
      </c>
      <c r="B10" s="6" t="s">
        <v>56</v>
      </c>
      <c r="C10" t="s">
        <v>57</v>
      </c>
      <c r="D10" t="s">
        <v>30</v>
      </c>
      <c r="E10" t="s">
        <v>31</v>
      </c>
      <c r="F10" t="s">
        <v>32</v>
      </c>
      <c r="G10" t="s">
        <v>16</v>
      </c>
      <c r="H10" s="3">
        <v>210</v>
      </c>
      <c r="I10" s="8" t="b">
        <f t="shared" si="0"/>
        <v>1</v>
      </c>
      <c r="J10">
        <v>15</v>
      </c>
      <c r="K10" t="s">
        <v>33</v>
      </c>
      <c r="L10" t="s">
        <v>27</v>
      </c>
    </row>
    <row r="11" spans="1:12" x14ac:dyDescent="0.35">
      <c r="A11" t="s">
        <v>58</v>
      </c>
      <c r="B11" s="2">
        <v>46036</v>
      </c>
      <c r="C11" t="s">
        <v>59</v>
      </c>
      <c r="D11" t="s">
        <v>36</v>
      </c>
      <c r="E11" s="7" t="s">
        <v>60</v>
      </c>
      <c r="F11" t="s">
        <v>61</v>
      </c>
      <c r="G11" t="s">
        <v>24</v>
      </c>
      <c r="H11" s="3">
        <v>3400</v>
      </c>
      <c r="I11" s="8" t="b">
        <f t="shared" si="0"/>
        <v>1</v>
      </c>
      <c r="J11">
        <v>6</v>
      </c>
      <c r="K11" t="s">
        <v>17</v>
      </c>
      <c r="L11" t="s">
        <v>18</v>
      </c>
    </row>
    <row r="12" spans="1:12" x14ac:dyDescent="0.35">
      <c r="A12" t="s">
        <v>62</v>
      </c>
      <c r="B12" s="2">
        <v>46037</v>
      </c>
      <c r="C12" t="s">
        <v>63</v>
      </c>
      <c r="D12" t="s">
        <v>41</v>
      </c>
      <c r="E12" t="s">
        <v>37</v>
      </c>
      <c r="F12" t="s">
        <v>64</v>
      </c>
      <c r="G12" t="s">
        <v>16</v>
      </c>
      <c r="H12" s="11" t="s">
        <v>65</v>
      </c>
      <c r="I12" s="8" t="b">
        <f t="shared" si="0"/>
        <v>0</v>
      </c>
      <c r="J12">
        <v>1</v>
      </c>
      <c r="K12" t="s">
        <v>26</v>
      </c>
      <c r="L12" t="s">
        <v>27</v>
      </c>
    </row>
    <row r="13" spans="1:12" x14ac:dyDescent="0.35">
      <c r="A13" t="s">
        <v>66</v>
      </c>
      <c r="B13" s="2">
        <v>46038</v>
      </c>
      <c r="C13" t="s">
        <v>67</v>
      </c>
      <c r="D13" t="s">
        <v>47</v>
      </c>
      <c r="E13" t="s">
        <v>22</v>
      </c>
      <c r="F13" t="s">
        <v>68</v>
      </c>
      <c r="G13" t="s">
        <v>16</v>
      </c>
      <c r="H13" s="3">
        <v>1100</v>
      </c>
      <c r="I13" s="8" t="b">
        <f t="shared" si="0"/>
        <v>1</v>
      </c>
      <c r="J13">
        <v>2</v>
      </c>
      <c r="K13" t="s">
        <v>17</v>
      </c>
      <c r="L13" t="s">
        <v>18</v>
      </c>
    </row>
    <row r="14" spans="1:12" x14ac:dyDescent="0.35">
      <c r="A14" t="s">
        <v>69</v>
      </c>
      <c r="B14" s="2">
        <v>46039</v>
      </c>
      <c r="C14" t="s">
        <v>70</v>
      </c>
      <c r="D14" t="s">
        <v>13</v>
      </c>
      <c r="E14" t="s">
        <v>14</v>
      </c>
      <c r="F14" t="s">
        <v>15</v>
      </c>
      <c r="G14" t="s">
        <v>24</v>
      </c>
      <c r="H14" s="3">
        <v>4200</v>
      </c>
      <c r="I14" s="8" t="b">
        <f t="shared" si="0"/>
        <v>1</v>
      </c>
      <c r="J14">
        <v>8</v>
      </c>
      <c r="K14" t="s">
        <v>17</v>
      </c>
      <c r="L14" t="s">
        <v>27</v>
      </c>
    </row>
    <row r="15" spans="1:12" x14ac:dyDescent="0.35">
      <c r="A15" t="s">
        <v>71</v>
      </c>
      <c r="B15" s="5" t="s">
        <v>72</v>
      </c>
      <c r="C15" t="s">
        <v>73</v>
      </c>
      <c r="D15" t="s">
        <v>21</v>
      </c>
      <c r="E15" s="7" t="s">
        <v>74</v>
      </c>
      <c r="F15" t="s">
        <v>75</v>
      </c>
      <c r="G15" t="s">
        <v>16</v>
      </c>
      <c r="H15" s="3">
        <v>75</v>
      </c>
      <c r="I15" s="8" t="b">
        <f t="shared" si="0"/>
        <v>1</v>
      </c>
      <c r="J15">
        <v>20</v>
      </c>
      <c r="K15" t="s">
        <v>33</v>
      </c>
      <c r="L15" t="s">
        <v>27</v>
      </c>
    </row>
    <row r="16" spans="1:12" x14ac:dyDescent="0.35">
      <c r="A16" t="s">
        <v>76</v>
      </c>
      <c r="B16" s="2">
        <v>46041</v>
      </c>
      <c r="C16" t="s">
        <v>77</v>
      </c>
      <c r="D16" t="s">
        <v>36</v>
      </c>
      <c r="E16" t="s">
        <v>37</v>
      </c>
      <c r="F16" t="s">
        <v>78</v>
      </c>
      <c r="G16" t="s">
        <v>24</v>
      </c>
      <c r="H16" s="3">
        <v>2600</v>
      </c>
      <c r="I16" s="8" t="b">
        <f t="shared" si="0"/>
        <v>1</v>
      </c>
      <c r="J16">
        <v>2</v>
      </c>
      <c r="K16" t="s">
        <v>26</v>
      </c>
      <c r="L16" t="s">
        <v>27</v>
      </c>
    </row>
    <row r="17" spans="1:12" x14ac:dyDescent="0.35">
      <c r="A17" t="s">
        <v>79</v>
      </c>
      <c r="B17" s="2">
        <v>46042</v>
      </c>
      <c r="C17" t="s">
        <v>80</v>
      </c>
      <c r="D17" t="s">
        <v>30</v>
      </c>
      <c r="E17" t="s">
        <v>22</v>
      </c>
      <c r="F17" t="s">
        <v>81</v>
      </c>
      <c r="G17" t="s">
        <v>16</v>
      </c>
      <c r="H17" s="3">
        <v>890</v>
      </c>
      <c r="I17" s="8" t="b">
        <f t="shared" si="0"/>
        <v>1</v>
      </c>
      <c r="J17">
        <v>1</v>
      </c>
      <c r="K17" t="s">
        <v>26</v>
      </c>
      <c r="L17" t="s">
        <v>27</v>
      </c>
    </row>
    <row r="18" spans="1:12" x14ac:dyDescent="0.35">
      <c r="A18" t="s">
        <v>82</v>
      </c>
      <c r="B18" s="2">
        <v>46043</v>
      </c>
      <c r="C18" t="s">
        <v>83</v>
      </c>
      <c r="D18" t="s">
        <v>41</v>
      </c>
      <c r="E18" t="s">
        <v>14</v>
      </c>
      <c r="F18" t="s">
        <v>84</v>
      </c>
      <c r="G18" t="s">
        <v>16</v>
      </c>
      <c r="H18" s="3">
        <v>1350</v>
      </c>
      <c r="I18" s="8" t="b">
        <f t="shared" si="0"/>
        <v>1</v>
      </c>
      <c r="J18">
        <v>3</v>
      </c>
      <c r="K18" t="s">
        <v>17</v>
      </c>
      <c r="L18" t="s">
        <v>18</v>
      </c>
    </row>
    <row r="19" spans="1:12" x14ac:dyDescent="0.35">
      <c r="A19" t="s">
        <v>85</v>
      </c>
      <c r="B19" s="2">
        <v>46044</v>
      </c>
      <c r="C19" t="s">
        <v>86</v>
      </c>
      <c r="D19" t="s">
        <v>47</v>
      </c>
      <c r="E19" t="s">
        <v>31</v>
      </c>
      <c r="F19" t="s">
        <v>32</v>
      </c>
      <c r="G19" t="s">
        <v>16</v>
      </c>
      <c r="H19" s="3">
        <v>160</v>
      </c>
      <c r="I19" s="8" t="b">
        <f t="shared" si="0"/>
        <v>1</v>
      </c>
      <c r="J19">
        <v>12</v>
      </c>
      <c r="K19" t="s">
        <v>33</v>
      </c>
      <c r="L19" t="s">
        <v>27</v>
      </c>
    </row>
    <row r="20" spans="1:12" x14ac:dyDescent="0.35">
      <c r="A20" t="s">
        <v>87</v>
      </c>
      <c r="B20" s="2">
        <v>46045</v>
      </c>
      <c r="C20" t="s">
        <v>88</v>
      </c>
      <c r="D20" t="s">
        <v>13</v>
      </c>
      <c r="E20" t="s">
        <v>37</v>
      </c>
      <c r="F20" t="s">
        <v>89</v>
      </c>
      <c r="G20" t="s">
        <v>24</v>
      </c>
      <c r="H20" s="3">
        <v>3100</v>
      </c>
      <c r="I20" s="8" t="b">
        <f t="shared" si="0"/>
        <v>1</v>
      </c>
      <c r="J20">
        <v>1</v>
      </c>
      <c r="K20" t="s">
        <v>17</v>
      </c>
      <c r="L20" t="s">
        <v>27</v>
      </c>
    </row>
    <row r="21" spans="1:12" x14ac:dyDescent="0.35">
      <c r="A21" t="s">
        <v>90</v>
      </c>
      <c r="B21" s="2">
        <v>46046</v>
      </c>
      <c r="C21" t="s">
        <v>91</v>
      </c>
      <c r="D21" t="s">
        <v>21</v>
      </c>
      <c r="E21" t="s">
        <v>22</v>
      </c>
      <c r="F21" t="s">
        <v>23</v>
      </c>
      <c r="G21" t="s">
        <v>24</v>
      </c>
      <c r="H21" s="3">
        <v>2750</v>
      </c>
      <c r="I21" s="8" t="b">
        <f t="shared" si="0"/>
        <v>1</v>
      </c>
      <c r="J21">
        <v>4</v>
      </c>
      <c r="K21" t="s">
        <v>26</v>
      </c>
      <c r="L21" t="s">
        <v>27</v>
      </c>
    </row>
    <row r="22" spans="1:12" x14ac:dyDescent="0.35">
      <c r="A22" t="s">
        <v>92</v>
      </c>
      <c r="B22" s="2">
        <v>46047</v>
      </c>
      <c r="C22" t="s">
        <v>93</v>
      </c>
      <c r="D22" t="s">
        <v>36</v>
      </c>
      <c r="E22" t="s">
        <v>14</v>
      </c>
      <c r="F22" t="s">
        <v>61</v>
      </c>
      <c r="G22" t="s">
        <v>16</v>
      </c>
      <c r="H22" s="3">
        <v>980</v>
      </c>
      <c r="I22" s="8" t="b">
        <f t="shared" si="0"/>
        <v>1</v>
      </c>
      <c r="J22">
        <v>2</v>
      </c>
      <c r="K22" t="s">
        <v>26</v>
      </c>
      <c r="L22" t="s">
        <v>27</v>
      </c>
    </row>
    <row r="23" spans="1:12" x14ac:dyDescent="0.35">
      <c r="A23" t="s">
        <v>94</v>
      </c>
      <c r="B23" s="2">
        <v>46048</v>
      </c>
      <c r="C23" t="s">
        <v>95</v>
      </c>
      <c r="D23" t="s">
        <v>41</v>
      </c>
      <c r="E23" t="s">
        <v>37</v>
      </c>
      <c r="F23" t="s">
        <v>96</v>
      </c>
      <c r="G23" t="s">
        <v>24</v>
      </c>
      <c r="H23" s="11" t="s">
        <v>97</v>
      </c>
      <c r="I23" s="8" t="b">
        <f t="shared" si="0"/>
        <v>0</v>
      </c>
      <c r="J23">
        <v>1</v>
      </c>
      <c r="K23" t="s">
        <v>17</v>
      </c>
      <c r="L23" t="s">
        <v>18</v>
      </c>
    </row>
    <row r="24" spans="1:12" x14ac:dyDescent="0.35">
      <c r="A24" t="s">
        <v>98</v>
      </c>
      <c r="B24" s="2">
        <v>46049</v>
      </c>
      <c r="C24" t="s">
        <v>99</v>
      </c>
      <c r="D24" t="s">
        <v>47</v>
      </c>
      <c r="E24" t="s">
        <v>22</v>
      </c>
      <c r="F24" t="s">
        <v>68</v>
      </c>
      <c r="G24" t="s">
        <v>16</v>
      </c>
      <c r="H24" s="3">
        <v>1250</v>
      </c>
      <c r="I24" s="8" t="b">
        <f t="shared" si="0"/>
        <v>1</v>
      </c>
      <c r="J24">
        <v>3</v>
      </c>
      <c r="K24" t="s">
        <v>17</v>
      </c>
      <c r="L24" t="s">
        <v>43</v>
      </c>
    </row>
    <row r="25" spans="1:12" x14ac:dyDescent="0.35">
      <c r="A25" t="s">
        <v>100</v>
      </c>
      <c r="B25" s="6" t="s">
        <v>101</v>
      </c>
      <c r="C25" t="s">
        <v>102</v>
      </c>
      <c r="D25" t="s">
        <v>30</v>
      </c>
      <c r="E25" t="s">
        <v>31</v>
      </c>
      <c r="F25" t="s">
        <v>75</v>
      </c>
      <c r="G25" t="s">
        <v>16</v>
      </c>
      <c r="H25" s="3">
        <v>45</v>
      </c>
      <c r="I25" s="8" t="b">
        <f t="shared" si="0"/>
        <v>1</v>
      </c>
      <c r="J25">
        <v>25</v>
      </c>
      <c r="K25" t="s">
        <v>33</v>
      </c>
      <c r="L25" t="s">
        <v>27</v>
      </c>
    </row>
    <row r="26" spans="1:12" x14ac:dyDescent="0.35">
      <c r="A26" t="s">
        <v>103</v>
      </c>
      <c r="B26" s="2">
        <v>46051</v>
      </c>
      <c r="C26" t="s">
        <v>104</v>
      </c>
      <c r="D26" t="s">
        <v>13</v>
      </c>
      <c r="E26" t="s">
        <v>14</v>
      </c>
      <c r="F26" t="s">
        <v>15</v>
      </c>
      <c r="G26" t="s">
        <v>24</v>
      </c>
      <c r="H26" s="3">
        <v>4999</v>
      </c>
      <c r="I26" s="8" t="b">
        <f t="shared" si="0"/>
        <v>1</v>
      </c>
      <c r="J26">
        <v>10</v>
      </c>
      <c r="K26" t="s">
        <v>17</v>
      </c>
      <c r="L26" t="s">
        <v>105</v>
      </c>
    </row>
    <row r="28" spans="1:12" x14ac:dyDescent="0.35">
      <c r="H28" s="3">
        <v>1</v>
      </c>
    </row>
  </sheetData>
  <conditionalFormatting sqref="A2:A26">
    <cfRule type="expression" dxfId="3" priority="3">
      <formula>ISERROR(SEARCH("-", $A$2:$A$26))</formula>
    </cfRule>
    <cfRule type="expression" priority="4">
      <formula>"PR100*"</formula>
    </cfRule>
    <cfRule type="containsErrors" priority="5">
      <formula>ISERROR(A2)</formula>
    </cfRule>
  </conditionalFormatting>
  <conditionalFormatting sqref="I2:I26">
    <cfRule type="containsText" dxfId="2" priority="1" operator="containsText" text="FALSE">
      <formula>NOT(ISERROR(SEARCH("FALSE",I2)))</formula>
    </cfRule>
  </conditionalFormatting>
  <dataValidations count="1">
    <dataValidation type="list" allowBlank="1" showInputMessage="1" showErrorMessage="1" errorTitle="incorrect input" error="Bau keine Scheisse. Put in correct request type" sqref="E2:E26" xr:uid="{00000000-0002-0000-0000-000000000000}">
      <formula1>"Hardware,Software,Office Supplies,Services"</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notContainsText" priority="2" operator="notContains" id="{1955C7F7-83AD-4F45-A980-85079C740E71}">
            <xm:f>ISERROR(SEARCH("-",A2))</xm:f>
            <xm:f>"-"</xm:f>
            <x14:dxf>
              <font>
                <color theme="5"/>
              </font>
            </x14:dxf>
          </x14:cfRule>
          <xm:sqref>A2:A26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workbookViewId="0">
      <selection activeCell="A30" sqref="A1:XFD1048576"/>
    </sheetView>
  </sheetViews>
  <sheetFormatPr defaultRowHeight="14.5" x14ac:dyDescent="0.35"/>
  <cols>
    <col min="1" max="1" width="17.6328125" customWidth="1"/>
    <col min="2" max="2" width="20.54296875" customWidth="1"/>
    <col min="3" max="3" width="22.36328125" customWidth="1"/>
    <col min="4" max="4" width="19.7265625" customWidth="1"/>
    <col min="5" max="5" width="19.6328125" customWidth="1"/>
    <col min="6" max="6" width="18.26953125" customWidth="1"/>
    <col min="7" max="7" width="24.08984375" customWidth="1"/>
    <col min="8" max="8" width="21.7265625" customWidth="1"/>
    <col min="9" max="9" width="14.81640625" customWidth="1"/>
    <col min="10" max="10" width="21.1796875" customWidth="1"/>
    <col min="11" max="11" width="23.08984375" customWidth="1"/>
  </cols>
  <sheetData>
    <row r="1" spans="1:11" ht="19" thickBot="1" x14ac:dyDescent="0.5">
      <c r="A1" s="9" t="s">
        <v>0</v>
      </c>
      <c r="B1" s="9" t="s">
        <v>1</v>
      </c>
      <c r="C1" s="9" t="s">
        <v>2</v>
      </c>
      <c r="D1" s="9" t="s">
        <v>3</v>
      </c>
      <c r="E1" s="9" t="s">
        <v>4</v>
      </c>
      <c r="F1" s="9" t="s">
        <v>5</v>
      </c>
      <c r="G1" s="9" t="s">
        <v>6</v>
      </c>
      <c r="H1" s="9" t="s">
        <v>7</v>
      </c>
      <c r="I1" s="9" t="s">
        <v>8</v>
      </c>
      <c r="J1" s="9" t="s">
        <v>9</v>
      </c>
      <c r="K1" s="9" t="s">
        <v>10</v>
      </c>
    </row>
    <row r="2" spans="1:11" x14ac:dyDescent="0.35">
      <c r="A2" t="s">
        <v>11</v>
      </c>
      <c r="B2" s="2">
        <v>46027</v>
      </c>
      <c r="C2" t="s">
        <v>12</v>
      </c>
      <c r="D2" t="s">
        <v>13</v>
      </c>
      <c r="E2" t="s">
        <v>14</v>
      </c>
      <c r="F2" t="s">
        <v>15</v>
      </c>
      <c r="G2" t="s">
        <v>16</v>
      </c>
      <c r="H2" s="3">
        <v>1250</v>
      </c>
      <c r="I2">
        <v>2</v>
      </c>
      <c r="J2" t="s">
        <v>17</v>
      </c>
      <c r="K2" t="s">
        <v>18</v>
      </c>
    </row>
    <row r="3" spans="1:11" x14ac:dyDescent="0.35">
      <c r="A3" t="s">
        <v>19</v>
      </c>
      <c r="B3" s="2">
        <v>46028</v>
      </c>
      <c r="C3" t="s">
        <v>20</v>
      </c>
      <c r="D3" t="s">
        <v>21</v>
      </c>
      <c r="E3" t="s">
        <v>22</v>
      </c>
      <c r="F3" t="s">
        <v>23</v>
      </c>
      <c r="G3" t="s">
        <v>24</v>
      </c>
      <c r="H3" s="3">
        <v>480</v>
      </c>
      <c r="I3">
        <v>5</v>
      </c>
      <c r="J3" t="s">
        <v>26</v>
      </c>
      <c r="K3" t="s">
        <v>27</v>
      </c>
    </row>
    <row r="4" spans="1:11" x14ac:dyDescent="0.35">
      <c r="A4" t="s">
        <v>28</v>
      </c>
      <c r="B4" s="2">
        <v>46029</v>
      </c>
      <c r="C4" t="s">
        <v>29</v>
      </c>
      <c r="D4" t="s">
        <v>30</v>
      </c>
      <c r="E4" t="s">
        <v>31</v>
      </c>
      <c r="F4" t="s">
        <v>32</v>
      </c>
      <c r="G4" t="s">
        <v>16</v>
      </c>
      <c r="H4" s="3">
        <v>95</v>
      </c>
      <c r="I4">
        <v>10</v>
      </c>
      <c r="J4" t="s">
        <v>33</v>
      </c>
      <c r="K4" t="s">
        <v>27</v>
      </c>
    </row>
    <row r="5" spans="1:11" x14ac:dyDescent="0.35">
      <c r="A5" t="s">
        <v>106</v>
      </c>
      <c r="B5" s="2">
        <v>46030</v>
      </c>
      <c r="C5" t="s">
        <v>35</v>
      </c>
      <c r="D5" t="s">
        <v>36</v>
      </c>
      <c r="E5" t="s">
        <v>37</v>
      </c>
      <c r="F5" t="s">
        <v>38</v>
      </c>
      <c r="G5" t="s">
        <v>24</v>
      </c>
      <c r="H5" s="3">
        <v>850</v>
      </c>
      <c r="I5">
        <v>1</v>
      </c>
      <c r="J5" t="s">
        <v>17</v>
      </c>
      <c r="K5" t="s">
        <v>18</v>
      </c>
    </row>
    <row r="6" spans="1:11" x14ac:dyDescent="0.35">
      <c r="A6" t="s">
        <v>39</v>
      </c>
      <c r="B6" s="2">
        <v>46031</v>
      </c>
      <c r="C6" t="s">
        <v>40</v>
      </c>
      <c r="D6" t="s">
        <v>41</v>
      </c>
      <c r="E6" t="s">
        <v>22</v>
      </c>
      <c r="F6" t="s">
        <v>42</v>
      </c>
      <c r="G6" t="s">
        <v>16</v>
      </c>
      <c r="H6" s="3">
        <v>1200</v>
      </c>
      <c r="I6">
        <v>3</v>
      </c>
      <c r="J6" t="s">
        <v>26</v>
      </c>
      <c r="K6" t="s">
        <v>43</v>
      </c>
    </row>
    <row r="7" spans="1:11" x14ac:dyDescent="0.35">
      <c r="A7" t="s">
        <v>44</v>
      </c>
      <c r="B7" s="4">
        <v>46032</v>
      </c>
      <c r="C7" t="s">
        <v>46</v>
      </c>
      <c r="D7" t="s">
        <v>47</v>
      </c>
      <c r="E7" t="s">
        <v>14</v>
      </c>
      <c r="F7" t="s">
        <v>15</v>
      </c>
      <c r="G7" t="s">
        <v>16</v>
      </c>
      <c r="H7" s="3">
        <v>640</v>
      </c>
      <c r="I7">
        <v>4</v>
      </c>
      <c r="J7" t="s">
        <v>17</v>
      </c>
      <c r="K7" t="s">
        <v>18</v>
      </c>
    </row>
    <row r="8" spans="1:11" x14ac:dyDescent="0.35">
      <c r="A8" t="s">
        <v>48</v>
      </c>
      <c r="B8" s="2">
        <v>46033</v>
      </c>
      <c r="C8" t="s">
        <v>49</v>
      </c>
      <c r="D8" t="s">
        <v>13</v>
      </c>
      <c r="E8" t="s">
        <v>22</v>
      </c>
      <c r="F8" t="s">
        <v>51</v>
      </c>
      <c r="G8" t="s">
        <v>24</v>
      </c>
      <c r="H8" s="3">
        <v>2200</v>
      </c>
      <c r="I8">
        <v>2</v>
      </c>
      <c r="J8" t="s">
        <v>17</v>
      </c>
      <c r="K8" t="s">
        <v>27</v>
      </c>
    </row>
    <row r="9" spans="1:11" x14ac:dyDescent="0.35">
      <c r="A9" t="s">
        <v>107</v>
      </c>
      <c r="B9" s="2">
        <v>46034</v>
      </c>
      <c r="C9" t="s">
        <v>53</v>
      </c>
      <c r="D9" t="s">
        <v>21</v>
      </c>
      <c r="E9" t="s">
        <v>37</v>
      </c>
      <c r="F9" t="s">
        <v>54</v>
      </c>
      <c r="G9" t="s">
        <v>24</v>
      </c>
      <c r="H9" s="3">
        <v>1800</v>
      </c>
      <c r="I9">
        <v>1</v>
      </c>
      <c r="J9" t="s">
        <v>26</v>
      </c>
      <c r="K9" t="s">
        <v>27</v>
      </c>
    </row>
    <row r="10" spans="1:11" x14ac:dyDescent="0.35">
      <c r="A10" t="s">
        <v>55</v>
      </c>
      <c r="B10" s="4">
        <v>46035</v>
      </c>
      <c r="C10" t="s">
        <v>57</v>
      </c>
      <c r="D10" t="s">
        <v>30</v>
      </c>
      <c r="E10" t="s">
        <v>31</v>
      </c>
      <c r="F10" t="s">
        <v>32</v>
      </c>
      <c r="G10" t="s">
        <v>16</v>
      </c>
      <c r="H10" s="3">
        <v>210</v>
      </c>
      <c r="I10">
        <v>15</v>
      </c>
      <c r="J10" t="s">
        <v>33</v>
      </c>
      <c r="K10" t="s">
        <v>27</v>
      </c>
    </row>
    <row r="11" spans="1:11" x14ac:dyDescent="0.35">
      <c r="A11" t="s">
        <v>58</v>
      </c>
      <c r="B11" s="2">
        <v>46036</v>
      </c>
      <c r="C11" t="s">
        <v>59</v>
      </c>
      <c r="D11" t="s">
        <v>36</v>
      </c>
      <c r="E11" t="s">
        <v>14</v>
      </c>
      <c r="F11" t="s">
        <v>61</v>
      </c>
      <c r="G11" t="s">
        <v>24</v>
      </c>
      <c r="H11" s="3">
        <v>3400</v>
      </c>
      <c r="I11">
        <v>6</v>
      </c>
      <c r="J11" t="s">
        <v>17</v>
      </c>
      <c r="K11" t="s">
        <v>18</v>
      </c>
    </row>
    <row r="12" spans="1:11" x14ac:dyDescent="0.35">
      <c r="A12" t="s">
        <v>62</v>
      </c>
      <c r="B12" s="2">
        <v>46037</v>
      </c>
      <c r="C12" t="s">
        <v>63</v>
      </c>
      <c r="D12" t="s">
        <v>41</v>
      </c>
      <c r="E12" t="s">
        <v>37</v>
      </c>
      <c r="F12" t="s">
        <v>64</v>
      </c>
      <c r="G12" t="s">
        <v>16</v>
      </c>
      <c r="H12" s="3">
        <v>950</v>
      </c>
      <c r="I12">
        <v>1</v>
      </c>
      <c r="J12" t="s">
        <v>26</v>
      </c>
      <c r="K12" t="s">
        <v>27</v>
      </c>
    </row>
    <row r="13" spans="1:11" x14ac:dyDescent="0.35">
      <c r="A13" t="s">
        <v>66</v>
      </c>
      <c r="B13" s="2">
        <v>46038</v>
      </c>
      <c r="C13" t="s">
        <v>67</v>
      </c>
      <c r="D13" t="s">
        <v>47</v>
      </c>
      <c r="E13" t="s">
        <v>22</v>
      </c>
      <c r="F13" t="s">
        <v>68</v>
      </c>
      <c r="G13" t="s">
        <v>16</v>
      </c>
      <c r="H13" s="3">
        <v>1100</v>
      </c>
      <c r="I13">
        <v>2</v>
      </c>
      <c r="J13" t="s">
        <v>17</v>
      </c>
      <c r="K13" t="s">
        <v>18</v>
      </c>
    </row>
    <row r="14" spans="1:11" x14ac:dyDescent="0.35">
      <c r="A14" t="s">
        <v>69</v>
      </c>
      <c r="B14" s="2">
        <v>46039</v>
      </c>
      <c r="C14" t="s">
        <v>70</v>
      </c>
      <c r="D14" t="s">
        <v>13</v>
      </c>
      <c r="E14" t="s">
        <v>14</v>
      </c>
      <c r="F14" t="s">
        <v>15</v>
      </c>
      <c r="G14" t="s">
        <v>24</v>
      </c>
      <c r="H14" s="3">
        <v>4200</v>
      </c>
      <c r="I14">
        <v>8</v>
      </c>
      <c r="J14" t="s">
        <v>17</v>
      </c>
      <c r="K14" t="s">
        <v>27</v>
      </c>
    </row>
    <row r="15" spans="1:11" x14ac:dyDescent="0.35">
      <c r="A15" t="s">
        <v>71</v>
      </c>
      <c r="B15" s="2">
        <v>46040</v>
      </c>
      <c r="C15" t="s">
        <v>73</v>
      </c>
      <c r="D15" t="s">
        <v>21</v>
      </c>
      <c r="E15" t="s">
        <v>31</v>
      </c>
      <c r="F15" t="s">
        <v>75</v>
      </c>
      <c r="G15" t="s">
        <v>16</v>
      </c>
      <c r="H15" s="3">
        <v>75</v>
      </c>
      <c r="I15">
        <v>20</v>
      </c>
      <c r="J15" t="s">
        <v>33</v>
      </c>
      <c r="K15" t="s">
        <v>27</v>
      </c>
    </row>
    <row r="16" spans="1:11" x14ac:dyDescent="0.35">
      <c r="A16" t="s">
        <v>76</v>
      </c>
      <c r="B16" s="2">
        <v>46041</v>
      </c>
      <c r="C16" t="s">
        <v>77</v>
      </c>
      <c r="D16" t="s">
        <v>36</v>
      </c>
      <c r="E16" t="s">
        <v>37</v>
      </c>
      <c r="F16" t="s">
        <v>78</v>
      </c>
      <c r="G16" t="s">
        <v>24</v>
      </c>
      <c r="H16" s="3">
        <v>2600</v>
      </c>
      <c r="I16">
        <v>2</v>
      </c>
      <c r="J16" t="s">
        <v>26</v>
      </c>
      <c r="K16" t="s">
        <v>27</v>
      </c>
    </row>
    <row r="17" spans="1:11" x14ac:dyDescent="0.35">
      <c r="A17" t="s">
        <v>108</v>
      </c>
      <c r="B17" s="2">
        <v>46042</v>
      </c>
      <c r="C17" t="s">
        <v>80</v>
      </c>
      <c r="D17" t="s">
        <v>30</v>
      </c>
      <c r="E17" t="s">
        <v>22</v>
      </c>
      <c r="F17" t="s">
        <v>81</v>
      </c>
      <c r="G17" t="s">
        <v>16</v>
      </c>
      <c r="H17" s="3">
        <v>890</v>
      </c>
      <c r="I17">
        <v>1</v>
      </c>
      <c r="J17" t="s">
        <v>26</v>
      </c>
      <c r="K17" t="s">
        <v>27</v>
      </c>
    </row>
    <row r="18" spans="1:11" x14ac:dyDescent="0.35">
      <c r="A18" t="s">
        <v>82</v>
      </c>
      <c r="B18" s="2">
        <v>46043</v>
      </c>
      <c r="C18" t="s">
        <v>83</v>
      </c>
      <c r="D18" t="s">
        <v>41</v>
      </c>
      <c r="E18" t="s">
        <v>14</v>
      </c>
      <c r="F18" t="s">
        <v>84</v>
      </c>
      <c r="G18" t="s">
        <v>16</v>
      </c>
      <c r="H18" s="3">
        <v>1350</v>
      </c>
      <c r="I18">
        <v>3</v>
      </c>
      <c r="J18" t="s">
        <v>17</v>
      </c>
      <c r="K18" t="s">
        <v>18</v>
      </c>
    </row>
    <row r="19" spans="1:11" x14ac:dyDescent="0.35">
      <c r="A19" t="s">
        <v>85</v>
      </c>
      <c r="B19" s="2">
        <v>46044</v>
      </c>
      <c r="C19" t="s">
        <v>86</v>
      </c>
      <c r="D19" t="s">
        <v>47</v>
      </c>
      <c r="E19" t="s">
        <v>31</v>
      </c>
      <c r="F19" t="s">
        <v>32</v>
      </c>
      <c r="G19" t="s">
        <v>16</v>
      </c>
      <c r="H19" s="3">
        <v>160</v>
      </c>
      <c r="I19">
        <v>12</v>
      </c>
      <c r="J19" t="s">
        <v>33</v>
      </c>
      <c r="K19" t="s">
        <v>27</v>
      </c>
    </row>
    <row r="20" spans="1:11" x14ac:dyDescent="0.35">
      <c r="A20" t="s">
        <v>87</v>
      </c>
      <c r="B20" s="2">
        <v>46045</v>
      </c>
      <c r="C20" t="s">
        <v>88</v>
      </c>
      <c r="D20" t="s">
        <v>13</v>
      </c>
      <c r="E20" t="s">
        <v>37</v>
      </c>
      <c r="F20" t="s">
        <v>89</v>
      </c>
      <c r="G20" t="s">
        <v>24</v>
      </c>
      <c r="H20" s="3">
        <v>3100</v>
      </c>
      <c r="I20">
        <v>1</v>
      </c>
      <c r="J20" t="s">
        <v>17</v>
      </c>
      <c r="K20" t="s">
        <v>27</v>
      </c>
    </row>
    <row r="21" spans="1:11" x14ac:dyDescent="0.35">
      <c r="A21" t="s">
        <v>90</v>
      </c>
      <c r="B21" s="2">
        <v>46046</v>
      </c>
      <c r="C21" t="s">
        <v>91</v>
      </c>
      <c r="D21" t="s">
        <v>21</v>
      </c>
      <c r="E21" t="s">
        <v>22</v>
      </c>
      <c r="F21" t="s">
        <v>23</v>
      </c>
      <c r="G21" t="s">
        <v>24</v>
      </c>
      <c r="H21" s="3">
        <v>2750</v>
      </c>
      <c r="I21">
        <v>4</v>
      </c>
      <c r="J21" t="s">
        <v>26</v>
      </c>
      <c r="K21" t="s">
        <v>27</v>
      </c>
    </row>
    <row r="22" spans="1:11" x14ac:dyDescent="0.35">
      <c r="A22" t="s">
        <v>92</v>
      </c>
      <c r="B22" s="2">
        <v>46047</v>
      </c>
      <c r="C22" t="s">
        <v>93</v>
      </c>
      <c r="D22" t="s">
        <v>36</v>
      </c>
      <c r="E22" t="s">
        <v>14</v>
      </c>
      <c r="F22" t="s">
        <v>61</v>
      </c>
      <c r="G22" t="s">
        <v>16</v>
      </c>
      <c r="H22" s="3">
        <v>980</v>
      </c>
      <c r="I22">
        <v>2</v>
      </c>
      <c r="J22" t="s">
        <v>26</v>
      </c>
      <c r="K22" t="s">
        <v>27</v>
      </c>
    </row>
    <row r="23" spans="1:11" x14ac:dyDescent="0.35">
      <c r="A23" t="s">
        <v>94</v>
      </c>
      <c r="B23" s="2">
        <v>46048</v>
      </c>
      <c r="C23" t="s">
        <v>95</v>
      </c>
      <c r="D23" t="s">
        <v>41</v>
      </c>
      <c r="E23" t="s">
        <v>37</v>
      </c>
      <c r="F23" t="s">
        <v>96</v>
      </c>
      <c r="G23" t="s">
        <v>24</v>
      </c>
      <c r="H23" s="3">
        <v>1500</v>
      </c>
      <c r="I23">
        <v>1</v>
      </c>
      <c r="J23" t="s">
        <v>17</v>
      </c>
      <c r="K23" t="s">
        <v>18</v>
      </c>
    </row>
    <row r="24" spans="1:11" x14ac:dyDescent="0.35">
      <c r="A24" t="s">
        <v>98</v>
      </c>
      <c r="B24" s="2">
        <v>46049</v>
      </c>
      <c r="C24" t="s">
        <v>99</v>
      </c>
      <c r="D24" t="s">
        <v>47</v>
      </c>
      <c r="E24" t="s">
        <v>22</v>
      </c>
      <c r="F24" t="s">
        <v>68</v>
      </c>
      <c r="G24" t="s">
        <v>16</v>
      </c>
      <c r="H24" s="3">
        <v>1250</v>
      </c>
      <c r="I24">
        <v>3</v>
      </c>
      <c r="J24" t="s">
        <v>17</v>
      </c>
      <c r="K24" t="s">
        <v>43</v>
      </c>
    </row>
    <row r="25" spans="1:11" x14ac:dyDescent="0.35">
      <c r="A25" t="s">
        <v>100</v>
      </c>
      <c r="B25" s="4">
        <v>46050</v>
      </c>
      <c r="C25" t="s">
        <v>102</v>
      </c>
      <c r="D25" t="s">
        <v>30</v>
      </c>
      <c r="E25" t="s">
        <v>31</v>
      </c>
      <c r="F25" t="s">
        <v>75</v>
      </c>
      <c r="G25" t="s">
        <v>16</v>
      </c>
      <c r="H25" s="3">
        <v>45</v>
      </c>
      <c r="I25">
        <v>25</v>
      </c>
      <c r="J25" t="s">
        <v>33</v>
      </c>
      <c r="K25" t="s">
        <v>27</v>
      </c>
    </row>
    <row r="26" spans="1:11" x14ac:dyDescent="0.35">
      <c r="A26" t="s">
        <v>103</v>
      </c>
      <c r="B26" s="2">
        <v>46051</v>
      </c>
      <c r="C26" t="s">
        <v>104</v>
      </c>
      <c r="D26" t="s">
        <v>13</v>
      </c>
      <c r="E26" t="s">
        <v>14</v>
      </c>
      <c r="F26" t="s">
        <v>15</v>
      </c>
      <c r="G26" t="s">
        <v>24</v>
      </c>
      <c r="H26" s="3">
        <v>4999</v>
      </c>
      <c r="I26">
        <v>10</v>
      </c>
      <c r="J26" t="s">
        <v>17</v>
      </c>
      <c r="K26" t="s">
        <v>105</v>
      </c>
    </row>
    <row r="28" spans="1:11" x14ac:dyDescent="0.35">
      <c r="H28" s="3"/>
    </row>
  </sheetData>
  <conditionalFormatting sqref="A2:A26">
    <cfRule type="expression" dxfId="0" priority="5">
      <formula>ISERROR(SEARCH("-", $A$2:$A$26))</formula>
    </cfRule>
    <cfRule type="expression" priority="6">
      <formula>"PR100*"</formula>
    </cfRule>
    <cfRule type="containsErrors" priority="7">
      <formula>ISERROR(A2)</formula>
    </cfRule>
  </conditionalFormatting>
  <dataValidations count="2">
    <dataValidation type="list" allowBlank="1" showInputMessage="1" showErrorMessage="1" errorTitle="Incorrect input" error="Please choose the correct request type" sqref="E2:E26" xr:uid="{00000000-0002-0000-0100-000000000000}">
      <formula1>"Hardware,Software,Office Supplies,Services"</formula1>
    </dataValidation>
    <dataValidation type="whole" allowBlank="1" showInputMessage="1" showErrorMessage="1" sqref="I2:I26" xr:uid="{00000000-0002-0000-0100-000001000000}">
      <formula1>1</formula1>
      <formula2>40</formula2>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notContainsText" priority="4" operator="notContains" id="{C8C578F2-49BF-47CD-9D30-7E4285FD188E}">
            <xm:f>ISERROR(SEARCH("-",A2))</xm:f>
            <xm:f>"-"</xm:f>
            <x14:dxf>
              <font>
                <color theme="5"/>
              </font>
            </x14:dxf>
          </x14:cfRule>
          <xm:sqref>A2:A26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Benita Mbanusi</dc:creator>
  <cp:lastModifiedBy>wesley ofori</cp:lastModifiedBy>
  <dcterms:created xsi:type="dcterms:W3CDTF">2026-08-18T13:49:33Z</dcterms:created>
  <dcterms:modified xsi:type="dcterms:W3CDTF">2026-08-20T14:00:02Z</dcterms:modified>
</cp:coreProperties>
</file>